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Types.xml" ContentType="application/vnd.ms-excel.rdrichvaluetypes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ts Only (Editable)" sheetId="1" r:id="rId1"/>
    <sheet name="Lists" sheetId="2" state="hidden" r:id="rId2"/>
    <sheet name="Assemblies (Read-Only)" sheetId="3" r:id="rId3"/>
  </sheets>
  <calcPr calcId="124519" fullCalcOnLoad="1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</future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<sst xmlns="http://schemas.openxmlformats.org/spreadsheetml/2006/main" count="55" uniqueCount="35">
  <si>
    <t>Picture</t>
  </si>
  <si>
    <t>Part Number</t>
  </si>
  <si>
    <t>Description</t>
  </si>
  <si>
    <t>Total Qty</t>
  </si>
  <si>
    <t>Vendor</t>
  </si>
  <si>
    <t>Vendor Part No</t>
  </si>
  <si>
    <t>Where Used (Sub-Asm Qty)</t>
  </si>
  <si>
    <t>Status</t>
  </si>
  <si>
    <t>KC1T_M-Solidworks</t>
  </si>
  <si>
    <t>Cage2-sjm (1)</t>
  </si>
  <si>
    <t>ER3-Solidworks</t>
  </si>
  <si>
    <t>Cage2-sjm (4), cag subassm 1 (4)</t>
  </si>
  <si>
    <t>CRM1T_M-Solidworks</t>
  </si>
  <si>
    <t>cag subassm 1 (2), Cage2-sjm (1)</t>
  </si>
  <si>
    <t>CCM1-4ER_M-Solidworks</t>
  </si>
  <si>
    <t>CP33_M-Solidworks</t>
  </si>
  <si>
    <t>Thorlabs</t>
  </si>
  <si>
    <t>McMaster-Carr</t>
  </si>
  <si>
    <t>Newport</t>
  </si>
  <si>
    <t>Digi-Key</t>
  </si>
  <si>
    <t>Unknown</t>
  </si>
  <si>
    <t>Level</t>
  </si>
  <si>
    <t>Type</t>
  </si>
  <si>
    <t>Qty</t>
  </si>
  <si>
    <t>1.0</t>
  </si>
  <si>
    <t>Part</t>
  </si>
  <si>
    <t>2.0</t>
  </si>
  <si>
    <t>3.0</t>
  </si>
  <si>
    <t>Assembly</t>
  </si>
  <si>
    <t>cag subassm 1</t>
  </si>
  <si>
    <t>3.1</t>
  </si>
  <si>
    <t>3.2</t>
  </si>
  <si>
    <t>4.0</t>
  </si>
  <si>
    <t>5.0</t>
  </si>
  <si>
    <t>6.0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</si>
</sst>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6E4F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3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3F3F3F"/>
      </font>
      <fill>
        <patternFill>
          <bgColor rgb="FFD9D9D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Relationship Id="rId8" Type="http://schemas.microsoft.com/office/2022/10/relationships/richValueRel" Target="richData/richValueRel.xml"/><Relationship Id="rId9" Type="http://schemas.microsoft.com/office/2017/06/relationships/rdRichValue" Target="richData/rdrichvalue.xml"/><Relationship Id="rId10" Type="http://schemas.microsoft.com/office/2017/06/relationships/rdRichValueStructure" Target="richData/rdrichvaluestructure.xml"/><Relationship Id="rId11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5.7109375" customWidth="1"/>
    <col min="3" max="3" width="15.7109375" customWidth="1"/>
    <col min="4" max="4" width="13.7109375" customWidth="1"/>
    <col min="5" max="5" width="10.7109375" customWidth="1"/>
    <col min="6" max="6" width="18.7109375" customWidth="1"/>
    <col min="7" max="7" width="36.7109375" customWidth="1"/>
    <col min="8" max="8" width="10.7109375" customWidth="1"/>
  </cols>
  <sheetData>
    <row r="1" spans="1:8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" customHeight="1">
      <c r="A2" s="2" t="e" vm="1">
        <v>#VALUE!</v>
      </c>
      <c r="B2" s="2" t="s">
        <v>8</v>
      </c>
      <c r="C2" s="3"/>
      <c r="D2" s="2">
        <v>1</v>
      </c>
      <c r="E2" s="2"/>
      <c r="F2" s="2"/>
      <c r="G2" s="3" t="s">
        <v>9</v>
      </c>
      <c r="H2" s="2"/>
    </row>
    <row r="3" spans="1:8" ht="45" customHeight="1">
      <c r="A3" s="2" t="e" vm="2">
        <v>#VALUE!</v>
      </c>
      <c r="B3" s="2" t="s">
        <v>10</v>
      </c>
      <c r="C3" s="3"/>
      <c r="D3" s="2">
        <v>16</v>
      </c>
      <c r="E3" s="2"/>
      <c r="F3" s="2"/>
      <c r="G3" s="3" t="s">
        <v>11</v>
      </c>
      <c r="H3" s="2"/>
    </row>
    <row r="4" spans="1:8" ht="45" customHeight="1">
      <c r="A4" s="2" t="e" vm="3">
        <v>#VALUE!</v>
      </c>
      <c r="B4" s="2" t="s">
        <v>12</v>
      </c>
      <c r="C4" s="3"/>
      <c r="D4" s="2">
        <v>7</v>
      </c>
      <c r="E4" s="2"/>
      <c r="F4" s="2"/>
      <c r="G4" s="3" t="s">
        <v>13</v>
      </c>
      <c r="H4" s="2"/>
    </row>
    <row r="5" spans="1:8" ht="45" customHeight="1">
      <c r="A5" s="2" t="e" vm="4">
        <v>#VALUE!</v>
      </c>
      <c r="B5" s="2" t="s">
        <v>14</v>
      </c>
      <c r="C5" s="3"/>
      <c r="D5" s="2">
        <v>1</v>
      </c>
      <c r="E5" s="2"/>
      <c r="F5" s="2"/>
      <c r="G5" s="3" t="s">
        <v>9</v>
      </c>
      <c r="H5" s="2"/>
    </row>
    <row r="6" spans="1:8" ht="45" customHeight="1">
      <c r="A6" s="2" t="e" vm="5">
        <v>#VALUE!</v>
      </c>
      <c r="B6" s="2" t="s">
        <v>15</v>
      </c>
      <c r="C6" s="3"/>
      <c r="D6" s="2">
        <v>1</v>
      </c>
      <c r="E6" s="2"/>
      <c r="F6" s="2"/>
      <c r="G6" s="3" t="s">
        <v>9</v>
      </c>
      <c r="H6" s="2"/>
    </row>
  </sheetData>
  <conditionalFormatting sqref="E2:E206">
    <cfRule type="containsText" dxfId="0" priority="1" operator="containsText" text="mcmaster">
      <formula>NOT(ISERROR(SEARCH("mcmaster",E2)))</formula>
    </cfRule>
    <cfRule type="containsText" dxfId="1" priority="2" operator="containsText" text="thorlabs">
      <formula>NOT(ISERROR(SEARCH("thorlabs",E2)))</formula>
    </cfRule>
    <cfRule type="containsText" dxfId="2" priority="3" operator="containsText" text="unknown">
      <formula>NOT(ISERROR(SEARCH("unknown",E2)))</formula>
    </cfRule>
  </conditionalFormatting>
  <dataValidations count="2">
    <dataValidation type="list" allowBlank="1" showInputMessage="1" showErrorMessage="1" sqref="H2:H206">
      <formula1>"To Order,Ordered,Received,Installed"</formula1>
    </dataValidation>
    <dataValidation type="list" allowBlank="1" showInputMessage="1" showErrorMessage="1" sqref="E2:E206">
      <formula1>'Lists'!$A$1:$A$5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t="s">
        <v>16</v>
      </c>
    </row>
    <row r="2" spans="1:1">
      <c r="A2" t="s">
        <v>17</v>
      </c>
    </row>
    <row r="3" spans="1:1">
      <c r="A3" t="s">
        <v>18</v>
      </c>
    </row>
    <row r="4" spans="1:1">
      <c r="A4" t="s">
        <v>19</v>
      </c>
    </row>
    <row r="5" spans="1:1">
      <c r="A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9.7109375" customWidth="1"/>
    <col min="3" max="3" width="12.7109375" customWidth="1"/>
    <col min="4" max="4" width="25.7109375" customWidth="1"/>
    <col min="5" max="5" width="15.7109375" customWidth="1"/>
    <col min="6" max="6" width="7.7109375" customWidth="1"/>
    <col min="7" max="7" width="10.7109375" customWidth="1"/>
    <col min="8" max="8" width="18.7109375" customWidth="1"/>
  </cols>
  <sheetData>
    <row r="1" spans="1:8" ht="30" customHeight="1">
      <c r="A1" s="1" t="s">
        <v>0</v>
      </c>
      <c r="B1" s="1" t="s">
        <v>21</v>
      </c>
      <c r="C1" s="1" t="s">
        <v>22</v>
      </c>
      <c r="D1" s="1" t="s">
        <v>1</v>
      </c>
      <c r="E1" s="1" t="s">
        <v>2</v>
      </c>
      <c r="F1" s="1" t="s">
        <v>23</v>
      </c>
      <c r="G1" s="1" t="s">
        <v>4</v>
      </c>
      <c r="H1" s="1" t="s">
        <v>5</v>
      </c>
    </row>
    <row r="2" spans="1:8" ht="45" customHeight="1">
      <c r="A2" s="2" t="e" vm="1">
        <v>#VALUE!</v>
      </c>
      <c r="B2" s="2" t="s">
        <v>24</v>
      </c>
      <c r="C2" s="2" t="s">
        <v>25</v>
      </c>
      <c r="D2" s="2" t="s">
        <v>8</v>
      </c>
      <c r="E2" s="3">
        <f>IFERROR(INDEX('Parts Only (Editable)'!$C$2:$C$206,MATCH(D2,'Parts Only (Editable)'!$B$2:$B$206,0)),"")</f>
        <v/>
      </c>
      <c r="F2" s="2">
        <v>1</v>
      </c>
      <c r="G2" s="2">
        <f>IFERROR(INDEX('Parts Only (Editable)'!$E$2:$E$206,MATCH(D2,'Parts Only (Editable)'!$B$2:$B$206,0)),"")</f>
        <v/>
      </c>
      <c r="H2" s="2">
        <f>IFERROR(INDEX('Parts Only (Editable)'!$F$2:$F$206,MATCH(D2,'Parts Only (Editable)'!$B$2:$B$206,0)),"")</f>
        <v/>
      </c>
    </row>
    <row r="3" spans="1:8" ht="45" customHeight="1">
      <c r="A3" s="2" t="e" vm="2">
        <v>#VALUE!</v>
      </c>
      <c r="B3" s="2" t="s">
        <v>26</v>
      </c>
      <c r="C3" s="2" t="s">
        <v>25</v>
      </c>
      <c r="D3" s="2" t="s">
        <v>10</v>
      </c>
      <c r="E3" s="3">
        <f>IFERROR(INDEX('Parts Only (Editable)'!$C$2:$C$206,MATCH(D3,'Parts Only (Editable)'!$B$2:$B$206,0)),"")</f>
        <v/>
      </c>
      <c r="F3" s="2">
        <v>4</v>
      </c>
      <c r="G3" s="2">
        <f>IFERROR(INDEX('Parts Only (Editable)'!$E$2:$E$206,MATCH(D3,'Parts Only (Editable)'!$B$2:$B$206,0)),"")</f>
        <v/>
      </c>
      <c r="H3" s="2">
        <f>IFERROR(INDEX('Parts Only (Editable)'!$F$2:$F$206,MATCH(D3,'Parts Only (Editable)'!$B$2:$B$206,0)),"")</f>
        <v/>
      </c>
    </row>
    <row r="4" spans="1:8" ht="45" customHeight="1">
      <c r="A4" s="4" t="e" vm="6">
        <v>#VALUE!</v>
      </c>
      <c r="B4" s="5" t="s">
        <v>27</v>
      </c>
      <c r="C4" s="5" t="s">
        <v>28</v>
      </c>
      <c r="D4" s="5" t="s">
        <v>29</v>
      </c>
      <c r="E4" s="6"/>
      <c r="F4" s="5">
        <v>3</v>
      </c>
      <c r="G4" s="5"/>
      <c r="H4" s="5"/>
    </row>
    <row r="5" spans="1:8" ht="45" customHeight="1">
      <c r="A5" s="2" t="e" vm="2">
        <v>#VALUE!</v>
      </c>
      <c r="B5" s="2" t="s">
        <v>30</v>
      </c>
      <c r="C5" s="2" t="s">
        <v>25</v>
      </c>
      <c r="D5" s="2" t="s">
        <v>10</v>
      </c>
      <c r="E5" s="3">
        <f>IFERROR(INDEX('Parts Only (Editable)'!$C$2:$C$206,MATCH(D5,'Parts Only (Editable)'!$B$2:$B$206,0)),"")</f>
        <v/>
      </c>
      <c r="F5" s="2">
        <v>4</v>
      </c>
      <c r="G5" s="2">
        <f>IFERROR(INDEX('Parts Only (Editable)'!$E$2:$E$206,MATCH(D5,'Parts Only (Editable)'!$B$2:$B$206,0)),"")</f>
        <v/>
      </c>
      <c r="H5" s="2">
        <f>IFERROR(INDEX('Parts Only (Editable)'!$F$2:$F$206,MATCH(D5,'Parts Only (Editable)'!$B$2:$B$206,0)),"")</f>
        <v/>
      </c>
    </row>
    <row r="6" spans="1:8" ht="45" customHeight="1">
      <c r="A6" s="2" t="e" vm="3">
        <v>#VALUE!</v>
      </c>
      <c r="B6" s="2" t="s">
        <v>31</v>
      </c>
      <c r="C6" s="2" t="s">
        <v>25</v>
      </c>
      <c r="D6" s="2" t="s">
        <v>12</v>
      </c>
      <c r="E6" s="3">
        <f>IFERROR(INDEX('Parts Only (Editable)'!$C$2:$C$206,MATCH(D6,'Parts Only (Editable)'!$B$2:$B$206,0)),"")</f>
        <v/>
      </c>
      <c r="F6" s="2">
        <v>2</v>
      </c>
      <c r="G6" s="2">
        <f>IFERROR(INDEX('Parts Only (Editable)'!$E$2:$E$206,MATCH(D6,'Parts Only (Editable)'!$B$2:$B$206,0)),"")</f>
        <v/>
      </c>
      <c r="H6" s="2">
        <f>IFERROR(INDEX('Parts Only (Editable)'!$F$2:$F$206,MATCH(D6,'Parts Only (Editable)'!$B$2:$B$206,0)),"")</f>
        <v/>
      </c>
    </row>
    <row r="7" spans="1:8" ht="45" customHeight="1">
      <c r="A7" s="2" t="e" vm="3">
        <v>#VALUE!</v>
      </c>
      <c r="B7" s="2" t="s">
        <v>32</v>
      </c>
      <c r="C7" s="2" t="s">
        <v>25</v>
      </c>
      <c r="D7" s="2" t="s">
        <v>12</v>
      </c>
      <c r="E7" s="3">
        <f>IFERROR(INDEX('Parts Only (Editable)'!$C$2:$C$206,MATCH(D7,'Parts Only (Editable)'!$B$2:$B$206,0)),"")</f>
        <v/>
      </c>
      <c r="F7" s="2">
        <v>1</v>
      </c>
      <c r="G7" s="2">
        <f>IFERROR(INDEX('Parts Only (Editable)'!$E$2:$E$206,MATCH(D7,'Parts Only (Editable)'!$B$2:$B$206,0)),"")</f>
        <v/>
      </c>
      <c r="H7" s="2">
        <f>IFERROR(INDEX('Parts Only (Editable)'!$F$2:$F$206,MATCH(D7,'Parts Only (Editable)'!$B$2:$B$206,0)),"")</f>
        <v/>
      </c>
    </row>
    <row r="8" spans="1:8" ht="45" customHeight="1">
      <c r="A8" s="2" t="e" vm="4">
        <v>#VALUE!</v>
      </c>
      <c r="B8" s="2" t="s">
        <v>33</v>
      </c>
      <c r="C8" s="2" t="s">
        <v>25</v>
      </c>
      <c r="D8" s="2" t="s">
        <v>14</v>
      </c>
      <c r="E8" s="3">
        <f>IFERROR(INDEX('Parts Only (Editable)'!$C$2:$C$206,MATCH(D8,'Parts Only (Editable)'!$B$2:$B$206,0)),"")</f>
        <v/>
      </c>
      <c r="F8" s="2">
        <v>1</v>
      </c>
      <c r="G8" s="2">
        <f>IFERROR(INDEX('Parts Only (Editable)'!$E$2:$E$206,MATCH(D8,'Parts Only (Editable)'!$B$2:$B$206,0)),"")</f>
        <v/>
      </c>
      <c r="H8" s="2">
        <f>IFERROR(INDEX('Parts Only (Editable)'!$F$2:$F$206,MATCH(D8,'Parts Only (Editable)'!$B$2:$B$206,0)),"")</f>
        <v/>
      </c>
    </row>
    <row r="9" spans="1:8" ht="45" customHeight="1">
      <c r="A9" s="2" t="e" vm="5">
        <v>#VALUE!</v>
      </c>
      <c r="B9" s="2" t="s">
        <v>34</v>
      </c>
      <c r="C9" s="2" t="s">
        <v>25</v>
      </c>
      <c r="D9" s="2" t="s">
        <v>15</v>
      </c>
      <c r="E9" s="3">
        <f>IFERROR(INDEX('Parts Only (Editable)'!$C$2:$C$206,MATCH(D9,'Parts Only (Editable)'!$B$2:$B$206,0)),"")</f>
        <v/>
      </c>
      <c r="F9" s="2">
        <v>1</v>
      </c>
      <c r="G9" s="2">
        <f>IFERROR(INDEX('Parts Only (Editable)'!$E$2:$E$206,MATCH(D9,'Parts Only (Editable)'!$B$2:$B$206,0)),"")</f>
        <v/>
      </c>
      <c r="H9" s="2">
        <f>IFERROR(INDEX('Parts Only (Editable)'!$F$2:$F$206,MATCH(D9,'Parts Only (Editable)'!$B$2:$B$206,0)),"")</f>
        <v/>
      </c>
    </row>
  </sheetData>
  <conditionalFormatting sqref="G2:G3">
    <cfRule type="containsText" dxfId="0" priority="1" operator="containsText" text="mcmaster">
      <formula>NOT(ISERROR(SEARCH("mcmaster",G2)))</formula>
    </cfRule>
    <cfRule type="containsText" dxfId="1" priority="2" operator="containsText" text="thorlabs">
      <formula>NOT(ISERROR(SEARCH("thorlabs",G2)))</formula>
    </cfRule>
    <cfRule type="containsText" dxfId="2" priority="3" operator="containsText" text="unknown">
      <formula>NOT(ISERROR(SEARCH("unknown",G2)))</formula>
    </cfRule>
  </conditionalFormatting>
  <conditionalFormatting sqref="G5:G9">
    <cfRule type="containsText" dxfId="0" priority="4" operator="containsText" text="mcmaster">
      <formula>NOT(ISERROR(SEARCH("mcmaster",G5)))</formula>
    </cfRule>
    <cfRule type="containsText" dxfId="1" priority="5" operator="containsText" text="thorlabs">
      <formula>NOT(ISERROR(SEARCH("thorlabs",G5)))</formula>
    </cfRule>
    <cfRule type="containsText" dxfId="2" priority="6" operator="containsText" text="unknown">
      <formula>NOT(ISERROR(SEARCH("unknown",G5)))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Parts Only (Editable)</vt:lpstr>
      <vt:lpstr>Lists</vt:lpstr>
      <vt:lpstr>Assemblies (Read-Only)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2026-07-20T16:47:15Z</dcterms:created>
  <dcterms:modified xsi:type="dcterms:W3CDTF">2026-07-20T16:47:15Z</dcterms:modified>
</cp:coreProperties>
</file>